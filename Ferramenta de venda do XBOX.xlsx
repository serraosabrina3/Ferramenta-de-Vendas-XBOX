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za's\Downloads\"/>
    </mc:Choice>
  </mc:AlternateContent>
  <xr:revisionPtr revIDLastSave="0" documentId="8_{7CB4021E-30D1-423C-9DAD-463E41F0AB2E}" xr6:coauthVersionLast="47" xr6:coauthVersionMax="47" xr10:uidLastSave="{00000000-0000-0000-0000-000000000000}"/>
  <bookViews>
    <workbookView xWindow="-120" yWindow="-120" windowWidth="20730" windowHeight="1116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3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<sst xmlns="http://schemas.openxmlformats.org/spreadsheetml/2006/main" count="2021" uniqueCount="323">
  <si>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</si>
  <si>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</si>
  <si>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</si>
  <si>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</si>
  <si>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</si>
  <si>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</si>
  <si>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</si>
  <si>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</si>
  <si>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</si>
  <si>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</si>
  <si>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</si>
  <si>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</si>
  <si>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</si>
  <si>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</si>
  <si>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</si>
  <si>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</si>
  <si>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</si>
  <si>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</si>
  <si>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</si>
  <si>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</si>
  <si>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</si>
  <si>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</si>
  <si>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</si>
  <si>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</si>
  <si>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</si>
  <si>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</si>
  <si>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</si>
  <si>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</si>
  <si>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</si>
  <si>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</si>
  <si>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</si>
  <si>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</si>
  <si>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</si>
  <si>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</si>
  <si>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</si>
  <si>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</si>
  <si>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</si>
  <si>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</si>
  <si>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</si>
  <si>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</si>
  <si>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</si>
  <si>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</si>
  <si>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</si>
  <si>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</si>
  <si>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</si>
  <si>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</si>
  <si>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</si>
  <si>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</si>
  <si>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</si>
  <si>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</si>
  <si>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</si>
  <si>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</si>
  <si>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</si>
  <si>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</si>
  <si>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</si>
  <si>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</si>
  <si>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</si>
  <si>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</si>
  <si>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</si>
  <si>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</si>
  <si>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</si>
  <si>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</si>
  <si>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</si>
  <si>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</si>
  <si>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</si>
  <si>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</si>
  <si>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</si>
  <si>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</si>
  <si>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</si>
  <si>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</si>
  <si>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</si>
  <si>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</si>
  <si>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</si>
  <si>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</si>
  <si>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</si>
  <si>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</si>
  <si>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</si>
  <si>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</si>
  <si>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</si>
  <si>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</si>
  <si>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</si>
  <si>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</si>
  <si>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</si>
  <si>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</si>
  <si>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</si>
  <si>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</si>
  <si>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</si>
  <si>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</si>
  <si>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</si>
  <si>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</si>
  <si>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</si>
  <si>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</si>
  <si>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</si>
  <si>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</si>
  <si>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</si>
  <si>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</si>
  <si>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</si>
  <si>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</si>
  <si>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</si>
  <si>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</si>
  <si>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</si>
  <si>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</si>
  <si>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</si>
  <si>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</si>
  <si>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</si>
  <si>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</si>
  <si>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</si>
  <si>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</si>
  <si>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</si>
  <si>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</si>
  <si>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</si>
  <si>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</si>
  <si>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</si>
  <si>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</si>
  <si>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</si>
  <si>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</si>
  <si>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</si>
  <si>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</si>
  <si>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</si>
  <si>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</si>
  <si>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</si>
  <si>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</si>
  <si>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</si>
  <si>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</si>
  <si>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</si>
  <si>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</si>
  <si>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</si>
  <si>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</si>
  <si>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</si>
  <si>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</si>
  <si>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</si>
  <si>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</si>
  <si>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</si>
  <si>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</si>
  <si>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</si>
  <si>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</si>
  <si>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</si>
  <si>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</si>
  <si>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</si>
  <si>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</si>
  <si>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</si>
  <si>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</si>
  <si>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</si>
  <si>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</si>
  <si>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</si>
  <si>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</si>
  <si>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</si>
  <si>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</si>
  <si>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</si>
  <si>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</si>
  <si>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</si>
  <si>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</si>
  <si>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</si>
  <si>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</si>
  <si>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</si>
  <si>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</si>
  <si>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</si>
  <si>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</si>
  <si>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</si>
  <si>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</si>
  <si>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</si>
  <si>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</si>
  <si>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</si>
  <si>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</si>
  <si>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</si>
  <si>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</si>
  <si>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</si>
  <si>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</si>
  <si>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</si>
  <si>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</si>
  <si>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</si>
  <si>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</si>
  <si>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</si>
  <si>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</si>
  <si>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</si>
  <si>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</si>
  <si>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</si>
  <si>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</si>
  <si>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</si>
  <si>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</si>
  <si>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</si>
  <si>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</si>
  <si>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</si>
  <si>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</si>
  <si>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</si>
  <si>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</si>
  <si>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</si>
  <si>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</si>
  <si>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</si>
  <si>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</si>
  <si>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</si>
  <si>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</si>
  <si>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</si>
  <si>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</si>
  <si>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</si>
  <si>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</si>
  <si>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</si>
  <si>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</si>
  <si>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</si>
  <si>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</si>
  <si>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</si>
  <si>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</si>
  <si>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</si>
  <si>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</si>
  <si>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</si>
  <si>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</si>
  <si>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</si>
  <si>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</si>
  <si>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</si>
  <si>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</si>
  <si>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</si>
  <si>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</si>
  <si>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</si>
  <si>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</si>
  <si>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</si>
  <si>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</si>
  <si>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</si>
  <si>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</si>
  <si>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</si>
  <si>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</si>
  <si>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</si>
  <si>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</si>
  <si>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</si>
  <si>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</si>
  <si>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</si>
  <si>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</si>
  <si>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</si>
  <si>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</si>
  <si>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</si>
  <si>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</si>
  <si>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</si>
  <si>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</si>
  <si>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</si>
  <si>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</si>
  <si>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</si>
  <si>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</si>
  <si>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</si>
  <si>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</si>
  <si>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</si>
  <si>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</si>
  <si>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</si>
  <si>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</si>
  <si>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</si>
  <si>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</si>
  <si>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</si>
  <si>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</si>
  <si>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</si>
  <si>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</si>
  <si>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</si>
  <si>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</si>
  <si>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</si>
  <si>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</si>
  <si>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</si>
  <si>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</si>
  <si>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</si>
  <si>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</si>
  <si>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</si>
  <si>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</si>
  <si>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</si>
  <si>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</si>
  <si>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</si>
  <si>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</si>
  <si>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</si>
  <si>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</si>
  <si>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</si>
  <si>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</si>
  <si>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</si>
  <si>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</si>
  <si>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</si>
  <si>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</si>
  <si>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</si>
  <si>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</si>
  <si>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</si>
  <si>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</si>
  <si>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</si>
  <si>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</si>
  <si>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</si>
  <si>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</si>
  <si>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</si>
  <si>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</si>
  <si>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</si>
  <si>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</si>
  <si>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</si>
  <si>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</si>
  <si>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</si>
  <si>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</si>
  <si>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</si>
  <si>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</si>
  <si>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</si>
  <si>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</si>
  <si>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</si>
  <si>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</si>
  <si>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</si>
  <si>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</si>
  <si>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</si>
  <si>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</si>
  <si>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</si>
  <si>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</si>
  <si>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</si>
  <si>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</si>
  <si>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</si>
  <si>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</si>
  <si>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</si>
  <si>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</si>
  <si>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</si>
  <si>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</si>
  <si>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</si>
  <si>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</si>
  <si>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</si>
  <si>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</si>
  <si>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</si>
  <si>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</si>
  <si>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</si>
  <si>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</si>
  <si>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</si>
  <si>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</si>
  <si>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r>
      <t xml:space="preserve">Pergunta 1: Qual o faturamento </t>
    </r>
    <r>
      <rPr>
        <b/>
        <sz val="11"/>
        <color theme="1"/>
        <rFont val="Aptos Narrow"/>
        <family val="2"/>
        <scheme val="minor"/>
      </rPr>
      <t>total de venda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</si>
  <si>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 2: Qual faturamento </t>
    </r>
    <r>
      <rPr>
        <b/>
        <sz val="11"/>
        <color theme="1"/>
        <rFont val="Aptos Narrow"/>
        <family val="2"/>
        <scheme val="minor"/>
      </rPr>
      <t xml:space="preserve">total de vendas </t>
    </r>
    <r>
      <rPr>
        <sz val="11"/>
        <color theme="1"/>
        <rFont val="Aptos Narrow"/>
        <family val="2"/>
        <scheme val="minor"/>
      </rPr>
      <t xml:space="preserve">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separados por autorenovação automatica</t>
    </r>
  </si>
  <si>
    <t>XBOX GAME PASS SUBSCRIPTIONS SALES</t>
  </si>
  <si>
    <t>Soma de EA Play Season Pass</t>
  </si>
  <si>
    <t>Pergunta 3: Total de vendas de Assinaturas EA PLAY</t>
  </si>
  <si>
    <t>Pergunta 4: Total de vendas de assinaturas Minicraft EA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</si>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</sst>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rgb="FF5BF6A8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0" fontId="1" fillId="0" borderId="0" xfId="1" applyBorder="1"/>
    <xf numFmtId="0" fontId="0" fillId="0" borderId="0" xfId="0" applyNumberFormat="1"/>
    <xf numFmtId="165" fontId="3" fillId="9" borderId="0" xfId="2" applyNumberFormat="1" applyFont="1" applyFill="1" applyBorder="1"/>
    <xf numFmtId="165" fontId="0" fillId="0" borderId="0" xfId="0" applyNumberFormat="1"/>
    <xf numFmtId="0" fontId="4" fillId="0" borderId="2" xfId="1" applyFont="1" applyBorder="1" applyAlignment="1">
      <alignment horizontal="left" vertical="center" indent="1"/>
    </xf>
    <xf numFmtId="0" fontId="4" fillId="0" borderId="2" xfId="1" applyFont="1" applyBorder="1" applyAlignment="1">
      <alignment horizontal="left" vertical="center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b/>
        <i val="0"/>
        <color theme="0"/>
      </font>
      <fill>
        <patternFill patternType="solid">
          <fgColor indexed="64"/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253407C-D4A6-4F50-967C-CBAFE329043F}">
      <tableStyleElement type="wholeTable" dxfId="1"/>
      <tableStyleElement type="headerRow" dxfId="0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[Ferramenta de venda do XBOX.xlsx]C̳álculos!tbl_anual_total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</c:pivotFmt>
      <c:pivotFmt>
        <c:idx val="2"/>
        <c:spPr>
          <a:solidFill>
            <a:srgbClr val="2AE6B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  <c:pivotFmt>
        <c:idx val="5"/>
        <c:spPr>
          <a:solidFill>
            <a:srgbClr val="2AE6B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</c:pivotFmt>
      <c:pivotFmt>
        <c:idx val="8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3982862718033929E-2"/>
          <c:y val="0.13488628307799658"/>
          <c:w val="0.88142587024790375"/>
          <c:h val="0.67969692395818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0D-44BA-89DE-6B7D2485C5D8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0D-44BA-89DE-6B7D2485C5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0D-44BA-89DE-6B7D2485C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2738752"/>
        <c:axId val="352739112"/>
      </c:barChart>
      <c:catAx>
        <c:axId val="352738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2739112"/>
        <c:crosses val="autoZero"/>
        <c:auto val="1"/>
        <c:lblAlgn val="ctr"/>
        <c:lblOffset val="100"/>
        <c:noMultiLvlLbl val="0"/>
      </c:catAx>
      <c:valAx>
        <c:axId val="352739112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527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83344</xdr:colOff>
      <xdr:row>0</xdr:row>
      <xdr:rowOff>47626</xdr:rowOff>
    </xdr:from>
    <xdr:to>
      <xdr:col>2</xdr:col>
      <xdr:colOff>607218</xdr:colOff>
      <xdr:row>2</xdr:row>
      <xdr:rowOff>305751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FD871D-FB12-4510-A110-2484A6B5C6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25" t="17470" r="72314" b="17304"/>
        <a:stretch>
          <a:fillRect/>
        </a:stretch>
      </xdr:blipFill>
      <xdr:spPr>
        <a:xfrm>
          <a:off x="1940719" y="47626"/>
          <a:ext cx="761999" cy="853438"/>
        </a:xfrm>
        <a:prstGeom prst="rect">
          <a:avLst/>
        </a:prstGeom>
      </xdr:spPr>
    </xdr:pic>
    <xdr:clientData/>
  </xdr:twoCellAnchor>
  <xdr:twoCellAnchor editAs="absolute">
    <xdr:from>
      <xdr:col>0</xdr:col>
      <xdr:colOff>23813</xdr:colOff>
      <xdr:row>6</xdr:row>
      <xdr:rowOff>297655</xdr:rowOff>
    </xdr:from>
    <xdr:to>
      <xdr:col>0</xdr:col>
      <xdr:colOff>1852613</xdr:colOff>
      <xdr:row>13</xdr:row>
      <xdr:rowOff>100011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19E55E70-B2D5-412E-9CED-A4CDBF8421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3" y="1642361"/>
              <a:ext cx="1828800" cy="13599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202406</xdr:colOff>
      <xdr:row>6</xdr:row>
      <xdr:rowOff>0</xdr:rowOff>
    </xdr:from>
    <xdr:to>
      <xdr:col>10</xdr:col>
      <xdr:colOff>511969</xdr:colOff>
      <xdr:row>13</xdr:row>
      <xdr:rowOff>166687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4C19A433-7018-7989-3C0F-16EAE51657E0}"/>
            </a:ext>
          </a:extLst>
        </xdr:cNvPr>
        <xdr:cNvGrpSpPr/>
      </xdr:nvGrpSpPr>
      <xdr:grpSpPr>
        <a:xfrm>
          <a:off x="2297906" y="1344706"/>
          <a:ext cx="5150504" cy="1724305"/>
          <a:chOff x="2297906" y="1143001"/>
          <a:chExt cx="5167313" cy="1726406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9C767EF-0787-F02C-5514-DDC82453C9C3}"/>
              </a:ext>
            </a:extLst>
          </xdr:cNvPr>
          <xdr:cNvSpPr/>
        </xdr:nvSpPr>
        <xdr:spPr>
          <a:xfrm>
            <a:off x="2297906" y="1162508"/>
            <a:ext cx="5167313" cy="1706899"/>
          </a:xfrm>
          <a:prstGeom prst="roundRect">
            <a:avLst>
              <a:gd name="adj" fmla="val 571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9B835757-C747-0319-9EAD-E6AE8B98D816}"/>
              </a:ext>
            </a:extLst>
          </xdr:cNvPr>
          <xdr:cNvSpPr/>
        </xdr:nvSpPr>
        <xdr:spPr>
          <a:xfrm>
            <a:off x="3190875" y="1743138"/>
            <a:ext cx="4214812" cy="99487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8A8CC20-9632-444A-BF53-BB7E2D534574}" type="TxLink">
              <a:rPr lang="en-US" sz="3600" b="1" i="0" u="none" strike="noStrike">
                <a:solidFill>
                  <a:srgbClr val="5BF6A8"/>
                </a:solidFill>
                <a:latin typeface="Aptos Narrow"/>
              </a:rPr>
              <a:pPr algn="ctr"/>
              <a:t>R$ 600,00</a:t>
            </a:fld>
            <a:endParaRPr lang="pt-BR" sz="3600">
              <a:solidFill>
                <a:srgbClr val="5BF6A8"/>
              </a:solidFill>
            </a:endParaRPr>
          </a:p>
        </xdr:txBody>
      </xdr:sp>
      <xdr:pic>
        <xdr:nvPicPr>
          <xdr:cNvPr id="12" name="Imagem 11">
            <a:extLst>
              <a:ext uri="{FF2B5EF4-FFF2-40B4-BE49-F238E27FC236}">
                <a16:creationId xmlns:a16="http://schemas.microsoft.com/office/drawing/2014/main" id="{1883C749-8ABC-42CC-BF3A-F8B4CC972D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00" y="1635562"/>
            <a:ext cx="1219200" cy="1210031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F9D86F18-F05C-5753-890B-AE4EC1CD4049}"/>
              </a:ext>
            </a:extLst>
          </xdr:cNvPr>
          <xdr:cNvSpPr/>
        </xdr:nvSpPr>
        <xdr:spPr>
          <a:xfrm>
            <a:off x="2297906" y="1143001"/>
            <a:ext cx="5167313" cy="43891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380999</xdr:colOff>
      <xdr:row>6</xdr:row>
      <xdr:rowOff>0</xdr:rowOff>
    </xdr:from>
    <xdr:to>
      <xdr:col>20</xdr:col>
      <xdr:colOff>250031</xdr:colOff>
      <xdr:row>13</xdr:row>
      <xdr:rowOff>166687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91560E07-63CE-BBE1-258F-652187642456}"/>
            </a:ext>
          </a:extLst>
        </xdr:cNvPr>
        <xdr:cNvGrpSpPr/>
      </xdr:nvGrpSpPr>
      <xdr:grpSpPr>
        <a:xfrm>
          <a:off x="7922558" y="1344706"/>
          <a:ext cx="5147002" cy="1724305"/>
          <a:chOff x="8632031" y="1143000"/>
          <a:chExt cx="5167313" cy="1726406"/>
        </a:xfrm>
      </xdr:grpSpPr>
      <xdr:sp macro="" textlink="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7F6DEEF5-9085-AF98-FFA4-4B6F10D3438F}"/>
              </a:ext>
            </a:extLst>
          </xdr:cNvPr>
          <xdr:cNvSpPr/>
        </xdr:nvSpPr>
        <xdr:spPr>
          <a:xfrm>
            <a:off x="8632031" y="1162507"/>
            <a:ext cx="5167313" cy="1706899"/>
          </a:xfrm>
          <a:prstGeom prst="roundRect">
            <a:avLst>
              <a:gd name="adj" fmla="val 571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4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3A502575-C9EF-8542-251F-E86179265862}"/>
              </a:ext>
            </a:extLst>
          </xdr:cNvPr>
          <xdr:cNvSpPr/>
        </xdr:nvSpPr>
        <xdr:spPr>
          <a:xfrm>
            <a:off x="9525000" y="1743138"/>
            <a:ext cx="4214812" cy="99487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B3C7E13-073B-45C1-92AA-7DAC480C0A6B}" type="TxLink">
              <a:rPr lang="en-US" sz="3200" b="1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R$ 940,00</a:t>
            </a:fld>
            <a:endParaRPr lang="pt-BR" sz="3600" b="1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9" name="Retângulo: Cantos Superiores Arredondados 18">
            <a:extLst>
              <a:ext uri="{FF2B5EF4-FFF2-40B4-BE49-F238E27FC236}">
                <a16:creationId xmlns:a16="http://schemas.microsoft.com/office/drawing/2014/main" id="{C170A694-136E-15F8-83E6-298A83195090}"/>
              </a:ext>
            </a:extLst>
          </xdr:cNvPr>
          <xdr:cNvSpPr/>
        </xdr:nvSpPr>
        <xdr:spPr>
          <a:xfrm>
            <a:off x="8632031" y="1143000"/>
            <a:ext cx="5167313" cy="43891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SEASON PASS</a:t>
            </a: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9AC35CF-0ED8-4F4E-95F0-1525E58B90C0}"/>
              </a:ext>
            </a:extLst>
          </xdr:cNvPr>
          <xdr:cNvGrpSpPr/>
        </xdr:nvGrpSpPr>
        <xdr:grpSpPr>
          <a:xfrm>
            <a:off x="8822531" y="1966734"/>
            <a:ext cx="1321593" cy="547687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414E5D64-01D8-A284-344B-40EA0CA2310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D5672A4C-F0D7-F663-F225-2C72C5F79B8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200436</xdr:colOff>
      <xdr:row>14</xdr:row>
      <xdr:rowOff>107157</xdr:rowOff>
    </xdr:from>
    <xdr:to>
      <xdr:col>20</xdr:col>
      <xdr:colOff>261938</xdr:colOff>
      <xdr:row>32</xdr:row>
      <xdr:rowOff>0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1028D359-4616-6918-189B-52F3B053B680}"/>
            </a:ext>
          </a:extLst>
        </xdr:cNvPr>
        <xdr:cNvGrpSpPr/>
      </xdr:nvGrpSpPr>
      <xdr:grpSpPr>
        <a:xfrm>
          <a:off x="2295936" y="3199981"/>
          <a:ext cx="10785531" cy="3321843"/>
          <a:chOff x="2295936" y="3190876"/>
          <a:chExt cx="10824752" cy="3321843"/>
        </a:xfrm>
      </xdr:grpSpPr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BDE671D8-095F-CC6D-6A79-0DC418165C8E}"/>
              </a:ext>
            </a:extLst>
          </xdr:cNvPr>
          <xdr:cNvGrpSpPr/>
        </xdr:nvGrpSpPr>
        <xdr:grpSpPr>
          <a:xfrm>
            <a:off x="2295936" y="3202781"/>
            <a:ext cx="10824751" cy="3309938"/>
            <a:chOff x="2333621" y="3430536"/>
            <a:chExt cx="9908734" cy="2903586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44405C0-7CD1-E440-9669-7C1D0F6EC645}"/>
                </a:ext>
              </a:extLst>
            </xdr:cNvPr>
            <xdr:cNvSpPr/>
          </xdr:nvSpPr>
          <xdr:spPr>
            <a:xfrm>
              <a:off x="2333621" y="3430536"/>
              <a:ext cx="9908734" cy="2478403"/>
            </a:xfrm>
            <a:prstGeom prst="roundRect">
              <a:avLst>
                <a:gd name="adj" fmla="val 343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7BF65CA6-7FEB-45A8-BBFE-18B2BEF17614}"/>
                </a:ext>
              </a:extLst>
            </xdr:cNvPr>
            <xdr:cNvGraphicFramePr>
              <a:graphicFrameLocks/>
            </xdr:cNvGraphicFramePr>
          </xdr:nvGraphicFramePr>
          <xdr:xfrm>
            <a:off x="2477755" y="3497927"/>
            <a:ext cx="9746204" cy="283619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EC6F4E97-1F7C-42C6-BB8E-93A5CA52B771}"/>
              </a:ext>
            </a:extLst>
          </xdr:cNvPr>
          <xdr:cNvSpPr/>
        </xdr:nvSpPr>
        <xdr:spPr>
          <a:xfrm>
            <a:off x="2297906" y="3190876"/>
            <a:ext cx="10822782" cy="43891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 GAME </a:t>
            </a:r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</a:p>
        </xdr:txBody>
      </xdr:sp>
    </xdr:grpSp>
    <xdr:clientData/>
  </xdr:twoCellAnchor>
  <xdr:twoCellAnchor editAs="absolute">
    <xdr:from>
      <xdr:col>0</xdr:col>
      <xdr:colOff>542924</xdr:colOff>
      <xdr:row>1</xdr:row>
      <xdr:rowOff>86915</xdr:rowOff>
    </xdr:from>
    <xdr:to>
      <xdr:col>0</xdr:col>
      <xdr:colOff>1238249</xdr:colOff>
      <xdr:row>3</xdr:row>
      <xdr:rowOff>67865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C4491587-6F2A-478A-9541-324465BDD6C8}"/>
            </a:ext>
          </a:extLst>
        </xdr:cNvPr>
        <xdr:cNvSpPr/>
      </xdr:nvSpPr>
      <xdr:spPr>
        <a:xfrm>
          <a:off x="542924" y="277415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214312</xdr:colOff>
      <xdr:row>4</xdr:row>
      <xdr:rowOff>67866</xdr:rowOff>
    </xdr:from>
    <xdr:to>
      <xdr:col>0</xdr:col>
      <xdr:colOff>1678782</xdr:colOff>
      <xdr:row>6</xdr:row>
      <xdr:rowOff>47625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EAA04DDD-0E1C-D2AE-BCC4-90AC68016728}"/>
            </a:ext>
          </a:extLst>
        </xdr:cNvPr>
        <xdr:cNvSpPr txBox="1"/>
      </xdr:nvSpPr>
      <xdr:spPr>
        <a:xfrm>
          <a:off x="214312" y="1067991"/>
          <a:ext cx="1464470" cy="313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b</a:t>
          </a:r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em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vinda, Lelis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130967</xdr:colOff>
      <xdr:row>2</xdr:row>
      <xdr:rowOff>261937</xdr:rowOff>
    </xdr:from>
    <xdr:to>
      <xdr:col>12</xdr:col>
      <xdr:colOff>71436</xdr:colOff>
      <xdr:row>4</xdr:row>
      <xdr:rowOff>170259</xdr:rowOff>
    </xdr:to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C979C103-8C32-4658-9ABC-EE3F4616978B}"/>
            </a:ext>
          </a:extLst>
        </xdr:cNvPr>
        <xdr:cNvSpPr txBox="1"/>
      </xdr:nvSpPr>
      <xdr:spPr>
        <a:xfrm>
          <a:off x="2226467" y="857250"/>
          <a:ext cx="5845969" cy="313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 b="0">
              <a:solidFill>
                <a:schemeClr val="bg1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period:</a:t>
          </a:r>
          <a:r>
            <a:rPr lang="pt-BR" sz="1050" b="0" baseline="0">
              <a:solidFill>
                <a:schemeClr val="bg1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01/01/2024  - 31/12/2024 | Update Date: 20/01/2025</a:t>
          </a:r>
          <a:endParaRPr lang="pt-BR" sz="1050" b="0">
            <a:solidFill>
              <a:schemeClr val="bg1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za's" refreshedDate="46042.4779724537" createdVersion="8" refreshedVersion="8" minRefreshableVersion="3" recordCount="295" xr:uid="{11B7D666-9FB2-4A39-B403-6E0FBBDEBD6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705815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84391-BDFA-44ED-8006-2BED368B7C7C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E6E34-9D1A-4461-9630-4CF8D088535D}" name="tbl_easeasonpass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3D268-6C9A-41BD-8F53-F77C9A16CFEC}" name="tbl_a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9:C12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D3B24FD-1403-48B0-BCA5-77081B8C9F69}" sourceName="Subscription Type">
  <pivotTables>
    <pivotTable tabId="3" name="tbl_anual_total"/>
    <pivotTable tabId="3" name="tbl_easeasonpass_total"/>
    <pivotTable tabId="3" name="Tabela dinâmica3"/>
  </pivotTables>
  <data>
    <tabular pivotCacheId="57058159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FD0C79A5-AE68-4091-91AA-1D757772178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1" zoomScaleNormal="100" workbookViewId="0">
      <selection activeCell="V11" sqref="V1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V11" sqref="V1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F34"/>
  <sheetViews>
    <sheetView showGridLines="0" workbookViewId="0">
      <selection activeCell="V11" sqref="V11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4.42578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4" spans="2:3" x14ac:dyDescent="0.25">
      <c r="B4" t="s">
        <v>316</v>
      </c>
    </row>
    <row r="5" spans="2:3" x14ac:dyDescent="0.25">
      <c r="B5" t="s">
        <v>317</v>
      </c>
    </row>
    <row r="7" spans="2:3" x14ac:dyDescent="0.25">
      <c r="B7" s="12" t="s">
        <v>16</v>
      </c>
      <c r="C7" t="s">
        <v>24</v>
      </c>
    </row>
    <row r="9" spans="2:3" x14ac:dyDescent="0.25">
      <c r="B9" s="12" t="s">
        <v>313</v>
      </c>
      <c r="C9" t="s">
        <v>315</v>
      </c>
    </row>
    <row r="10" spans="2:3" x14ac:dyDescent="0.25">
      <c r="B10" s="13" t="s">
        <v>23</v>
      </c>
      <c r="C10" s="14">
        <v>217</v>
      </c>
    </row>
    <row r="11" spans="2:3" x14ac:dyDescent="0.25">
      <c r="B11" s="13" t="s">
        <v>19</v>
      </c>
      <c r="C11" s="14">
        <v>1537</v>
      </c>
    </row>
    <row r="12" spans="2:3" x14ac:dyDescent="0.25">
      <c r="B12" s="13" t="s">
        <v>314</v>
      </c>
      <c r="C12" s="14">
        <v>1754</v>
      </c>
    </row>
    <row r="15" spans="2:3" x14ac:dyDescent="0.25">
      <c r="B15" s="13" t="s">
        <v>320</v>
      </c>
    </row>
    <row r="17" spans="2:6" x14ac:dyDescent="0.25">
      <c r="B17" s="12" t="s">
        <v>16</v>
      </c>
      <c r="C17" t="s">
        <v>24</v>
      </c>
    </row>
    <row r="19" spans="2:6" x14ac:dyDescent="0.25">
      <c r="B19" s="12" t="s">
        <v>313</v>
      </c>
      <c r="C19" t="s">
        <v>319</v>
      </c>
    </row>
    <row r="20" spans="2:6" x14ac:dyDescent="0.25">
      <c r="B20" s="13" t="s">
        <v>22</v>
      </c>
      <c r="C20" s="17">
        <v>0</v>
      </c>
    </row>
    <row r="21" spans="2:6" x14ac:dyDescent="0.25">
      <c r="B21" s="13" t="s">
        <v>26</v>
      </c>
      <c r="C21" s="17">
        <v>0</v>
      </c>
    </row>
    <row r="22" spans="2:6" x14ac:dyDescent="0.25">
      <c r="B22" s="13" t="s">
        <v>18</v>
      </c>
      <c r="C22" s="17">
        <v>600</v>
      </c>
    </row>
    <row r="23" spans="2:6" x14ac:dyDescent="0.25">
      <c r="B23" s="13" t="s">
        <v>314</v>
      </c>
      <c r="C23" s="17">
        <v>600</v>
      </c>
      <c r="F23" s="18">
        <f>GETPIVOTDATA("EA Play Season Pass
Price",$B$19)</f>
        <v>600</v>
      </c>
    </row>
    <row r="26" spans="2:6" x14ac:dyDescent="0.25">
      <c r="B26" s="13" t="s">
        <v>321</v>
      </c>
    </row>
    <row r="28" spans="2:6" x14ac:dyDescent="0.25">
      <c r="B28" s="12" t="s">
        <v>16</v>
      </c>
      <c r="C28" t="s">
        <v>24</v>
      </c>
    </row>
    <row r="30" spans="2:6" x14ac:dyDescent="0.25">
      <c r="B30" s="12" t="s">
        <v>313</v>
      </c>
      <c r="C30" t="s">
        <v>322</v>
      </c>
    </row>
    <row r="31" spans="2:6" x14ac:dyDescent="0.25">
      <c r="B31" s="13" t="s">
        <v>22</v>
      </c>
      <c r="C31" s="14">
        <v>0</v>
      </c>
    </row>
    <row r="32" spans="2:6" x14ac:dyDescent="0.25">
      <c r="B32" s="13" t="s">
        <v>26</v>
      </c>
      <c r="C32" s="14">
        <v>540</v>
      </c>
    </row>
    <row r="33" spans="2:6" x14ac:dyDescent="0.25">
      <c r="B33" s="13" t="s">
        <v>18</v>
      </c>
      <c r="C33" s="14">
        <v>400</v>
      </c>
    </row>
    <row r="34" spans="2:6" x14ac:dyDescent="0.25">
      <c r="B34" s="13" t="s">
        <v>314</v>
      </c>
      <c r="C34" s="14">
        <v>940</v>
      </c>
      <c r="F34" s="19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M7"/>
  <sheetViews>
    <sheetView showGridLines="0" showRowColHeaders="0" tabSelected="1" zoomScale="85" zoomScaleNormal="85" workbookViewId="0">
      <selection activeCell="W20" sqref="W20"/>
    </sheetView>
  </sheetViews>
  <sheetFormatPr defaultRowHeight="15" x14ac:dyDescent="0.25"/>
  <cols>
    <col min="1" max="1" width="27.85546875" style="5" customWidth="1"/>
    <col min="2" max="2" width="3.5703125" style="7" customWidth="1"/>
    <col min="3" max="11" width="9.140625" style="7"/>
    <col min="12" max="12" width="6.5703125" style="7" customWidth="1"/>
    <col min="13" max="16384" width="9.140625" style="7"/>
  </cols>
  <sheetData>
    <row r="1" spans="1:13" customFormat="1" x14ac:dyDescent="0.25">
      <c r="A1" s="5"/>
    </row>
    <row r="2" spans="1:13" customFormat="1" ht="31.5" customHeight="1" thickBot="1" x14ac:dyDescent="0.35">
      <c r="A2" s="5"/>
      <c r="B2" s="16"/>
      <c r="C2" s="21" t="s">
        <v>318</v>
      </c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s="15" customFormat="1" ht="24.75" customHeight="1" thickTop="1" x14ac:dyDescent="0.25">
      <c r="A3" s="5"/>
    </row>
    <row r="4" spans="1:13" ht="7.5" customHeight="1" x14ac:dyDescent="0.25"/>
    <row r="5" spans="1:13" ht="16.5" customHeight="1" x14ac:dyDescent="0.25"/>
    <row r="6" spans="1:13" ht="9.75" customHeight="1" x14ac:dyDescent="0.25"/>
    <row r="7" spans="1:13" ht="33" customHeight="1" x14ac:dyDescent="0.25"/>
  </sheetData>
  <sheetProtection pivotTables="0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Sabrina Souza</cp:lastModifiedBy>
  <dcterms:created xsi:type="dcterms:W3CDTF">2024-12-19T13:13:10Z</dcterms:created>
  <dcterms:modified xsi:type="dcterms:W3CDTF">2026-01-20T18:19:37Z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